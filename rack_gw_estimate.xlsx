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랙 GW 추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000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0" fontId="2" fillId="0" borderId="1" pivotButton="0" quotePrefix="0" xfId="0"/>
    <xf numFmtId="3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9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2" fontId="2" fillId="0" borderId="1" applyAlignment="1" pivotButton="0" quotePrefix="0" xfId="0">
      <alignment horizontal="right"/>
    </xf>
    <xf numFmtId="2" fontId="0" fillId="0" borderId="1" applyAlignment="1" pivotButton="0" quotePrefix="0" xfId="0">
      <alignment horizontal="right"/>
    </xf>
    <xf numFmtId="0" fontId="2" fillId="3" borderId="1" pivotButton="0" quotePrefix="0" xfId="0"/>
    <xf numFmtId="0" fontId="0" fillId="3" borderId="1" pivotButton="0" quotePrefix="0" xfId="0"/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4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엔비디아 랙 개수 추정 → CBU 대상 GW (1단계)</t>
        </is>
      </c>
    </row>
    <row r="2">
      <c r="A2" t="inlineStr">
        <is>
          <t>파란 글씨 = 입력 가정, 검은 글씨 = 수식. 단위: 억$ / 만 개 / 만 대 / GW</t>
        </is>
      </c>
    </row>
    <row r="3">
      <c r="A3" s="2" t="inlineStr">
        <is>
          <t>빅테크 5사 CapEx (억 달러)</t>
        </is>
      </c>
      <c r="B3" s="2" t="inlineStr">
        <is>
          <t>근거</t>
        </is>
      </c>
      <c r="C3" s="3" t="inlineStr">
        <is>
          <t>2025</t>
        </is>
      </c>
      <c r="D3" s="3" t="inlineStr">
        <is>
          <t>2026</t>
        </is>
      </c>
      <c r="E3" s="3" t="inlineStr">
        <is>
          <t>2027E</t>
        </is>
      </c>
      <c r="F3" s="3" t="inlineStr">
        <is>
          <t>2028E</t>
        </is>
      </c>
      <c r="G3" s="3" t="inlineStr">
        <is>
          <t>2029E</t>
        </is>
      </c>
    </row>
    <row r="4">
      <c r="A4" s="4" t="inlineStr">
        <is>
          <t xml:space="preserve">  MS</t>
        </is>
      </c>
      <c r="B4" s="4" t="inlineStr">
        <is>
          <t>가이던스 (CY2026)</t>
        </is>
      </c>
      <c r="C4" s="5" t="n"/>
      <c r="D4" s="6" t="n">
        <v>1700</v>
      </c>
      <c r="E4" s="5" t="n"/>
      <c r="F4" s="5" t="n"/>
      <c r="G4" s="5" t="n"/>
    </row>
    <row r="5">
      <c r="A5" s="4" t="inlineStr">
        <is>
          <t xml:space="preserve">  Google</t>
        </is>
      </c>
      <c r="B5" s="4" t="inlineStr">
        <is>
          <t>가이던스 ($1,950억~2,050억)</t>
        </is>
      </c>
      <c r="C5" s="5" t="n"/>
      <c r="D5" s="6" t="n">
        <v>2000</v>
      </c>
      <c r="E5" s="5" t="n"/>
      <c r="F5" s="5" t="n"/>
      <c r="G5" s="5" t="n"/>
    </row>
    <row r="6">
      <c r="A6" s="4" t="inlineStr">
        <is>
          <t xml:space="preserve">  Amazon</t>
        </is>
      </c>
      <c r="B6" s="4" t="inlineStr">
        <is>
          <t>가이던스 (2분기 상향)</t>
        </is>
      </c>
      <c r="C6" s="5" t="n"/>
      <c r="D6" s="6" t="n">
        <v>2200</v>
      </c>
      <c r="E6" s="5" t="n"/>
      <c r="F6" s="5" t="n"/>
      <c r="G6" s="5" t="n"/>
    </row>
    <row r="7">
      <c r="A7" s="4" t="inlineStr">
        <is>
          <t xml:space="preserve">  Meta</t>
        </is>
      </c>
      <c r="B7" s="4" t="inlineStr">
        <is>
          <t>가이던스 ($1,350억~1,450억)</t>
        </is>
      </c>
      <c r="C7" s="5" t="n"/>
      <c r="D7" s="6" t="n">
        <v>1400</v>
      </c>
      <c r="E7" s="5" t="n"/>
      <c r="F7" s="5" t="n"/>
      <c r="G7" s="5" t="n"/>
    </row>
    <row r="8">
      <c r="A8" s="4" t="inlineStr">
        <is>
          <t xml:space="preserve">  Oracle</t>
        </is>
      </c>
      <c r="B8" s="4" t="inlineStr">
        <is>
          <t>FY26·FY27을 CY로 환산</t>
        </is>
      </c>
      <c r="C8" s="5" t="n"/>
      <c r="D8" s="6" t="n">
        <v>750</v>
      </c>
      <c r="E8" s="5" t="n"/>
      <c r="F8" s="5" t="n"/>
      <c r="G8" s="5" t="n"/>
    </row>
    <row r="9">
      <c r="A9" s="7" t="inlineStr">
        <is>
          <t>빅테크 5사 CapEx 합계</t>
        </is>
      </c>
      <c r="B9" s="4" t="inlineStr">
        <is>
          <t>2025 실적 추정 / 2027 컨센서스 / 이후 성장률</t>
        </is>
      </c>
      <c r="C9" s="8" t="n">
        <v>4400</v>
      </c>
      <c r="D9" s="9">
        <f>SUM(D4:D8)</f>
        <v/>
      </c>
      <c r="E9" s="8" t="n">
        <v>11400</v>
      </c>
      <c r="F9" s="10">
        <f>E9*(1+F10)</f>
        <v/>
      </c>
      <c r="G9" s="10">
        <f>F9*(1+G10)</f>
        <v/>
      </c>
    </row>
    <row r="10">
      <c r="A10" s="4" t="inlineStr">
        <is>
          <t xml:space="preserve">  CapEx 성장률</t>
        </is>
      </c>
      <c r="B10" s="4" t="inlineStr">
        <is>
          <t>가정</t>
        </is>
      </c>
      <c r="C10" s="5" t="n"/>
      <c r="D10" s="5" t="n"/>
      <c r="E10" s="5" t="n"/>
      <c r="F10" s="11" t="n">
        <v>0.1</v>
      </c>
      <c r="G10" s="11" t="n">
        <v>0.05</v>
      </c>
    </row>
    <row r="11">
      <c r="A11" s="4" t="inlineStr">
        <is>
          <t xml:space="preserve">  CapEx 내 서버 비중</t>
        </is>
      </c>
      <c r="B11" s="4" t="inlineStr">
        <is>
          <t>Alphabet '서버 약 60%', MS '단기자산 약 2/3'</t>
        </is>
      </c>
      <c r="C11" s="11" t="n">
        <v>0.6</v>
      </c>
      <c r="D11" s="11" t="n">
        <v>0.6</v>
      </c>
      <c r="E11" s="11" t="n">
        <v>0.6</v>
      </c>
      <c r="F11" s="11" t="n">
        <v>0.6</v>
      </c>
      <c r="G11" s="11" t="n">
        <v>0.6</v>
      </c>
    </row>
    <row r="12">
      <c r="A12" s="4" t="inlineStr">
        <is>
          <t xml:space="preserve">  서버 내 가속기 비중</t>
        </is>
      </c>
      <c r="B12" s="4" t="inlineStr">
        <is>
          <t>NVIDIA 실적 역산 64~66%, Dell 61%, TrendForce 74%</t>
        </is>
      </c>
      <c r="C12" s="11" t="n">
        <v>0.65</v>
      </c>
      <c r="D12" s="11" t="n">
        <v>0.65</v>
      </c>
      <c r="E12" s="11" t="n">
        <v>0.65</v>
      </c>
      <c r="F12" s="11" t="n">
        <v>0.65</v>
      </c>
      <c r="G12" s="11" t="n">
        <v>0.65</v>
      </c>
    </row>
    <row r="13">
      <c r="A13" s="4" t="inlineStr">
        <is>
          <t xml:space="preserve">  가속기 내 GPU 비중 (ASIC 제외)</t>
        </is>
      </c>
      <c r="B13" s="4" t="inlineStr">
        <is>
          <t>ASIC 확대 (TrendForce, 대만 업계)</t>
        </is>
      </c>
      <c r="C13" s="11" t="n">
        <v>0.75</v>
      </c>
      <c r="D13" s="11" t="n">
        <v>0.7</v>
      </c>
      <c r="E13" s="11" t="n">
        <v>0.65</v>
      </c>
      <c r="F13" s="11" t="n">
        <v>0.6</v>
      </c>
      <c r="G13" s="11" t="n">
        <v>0.55</v>
      </c>
    </row>
    <row r="14">
      <c r="A14" s="4" t="inlineStr">
        <is>
          <t xml:space="preserve">  GPU 내 엔비디아 비중</t>
        </is>
      </c>
      <c r="B14" s="4" t="inlineStr">
        <is>
          <t>AMD 확대 반영</t>
        </is>
      </c>
      <c r="C14" s="11" t="n">
        <v>0.95</v>
      </c>
      <c r="D14" s="11" t="n">
        <v>0.95</v>
      </c>
      <c r="E14" s="11" t="n">
        <v>0.9</v>
      </c>
      <c r="F14" s="11" t="n">
        <v>0.9</v>
      </c>
      <c r="G14" s="11" t="n">
        <v>0.9</v>
      </c>
    </row>
    <row r="15">
      <c r="A15" s="4" t="inlineStr">
        <is>
          <t xml:space="preserve">  NVIDIA 하이퍼스케일 매출</t>
        </is>
      </c>
      <c r="B15" s="4">
        <f> CapEx × 위 4개 비중</f>
        <v/>
      </c>
      <c r="C15" s="10">
        <f>C9*C11*C12*C13*C14</f>
        <v/>
      </c>
      <c r="D15" s="10">
        <f>D9*D11*D12*D13*D14</f>
        <v/>
      </c>
      <c r="E15" s="10">
        <f>E9*E11*E12*E13*E14</f>
        <v/>
      </c>
      <c r="F15" s="10">
        <f>F9*F11*F12*F13*F14</f>
        <v/>
      </c>
      <c r="G15" s="10">
        <f>G9*G11*G12*G13*G14</f>
        <v/>
      </c>
    </row>
    <row r="16">
      <c r="A16" s="4" t="inlineStr">
        <is>
          <t>하이퍼스케일 비중</t>
        </is>
      </c>
      <c r="B16" s="4" t="inlineStr">
        <is>
          <t>NVIDIA 실적(FY26) · 블룸버그 컨센서스 / 2028~ 가정</t>
        </is>
      </c>
      <c r="C16" s="11" t="n">
        <v>0.64</v>
      </c>
      <c r="D16" s="11" t="n">
        <v>0.54</v>
      </c>
      <c r="E16" s="11" t="n">
        <v>0.51</v>
      </c>
      <c r="F16" s="11" t="n">
        <v>0.5</v>
      </c>
      <c r="G16" s="11" t="n">
        <v>0.5</v>
      </c>
    </row>
    <row r="17">
      <c r="A17" s="7" t="inlineStr">
        <is>
          <t>엔비디아 데이터센터 매출</t>
        </is>
      </c>
      <c r="B17" s="4">
        <f> 하이퍼스케일 매출 ÷ 하이퍼스케일 비중</f>
        <v/>
      </c>
      <c r="C17" s="9">
        <f>C15/C16</f>
        <v/>
      </c>
      <c r="D17" s="9">
        <f>D15/D16</f>
        <v/>
      </c>
      <c r="E17" s="9">
        <f>E15/E16</f>
        <v/>
      </c>
      <c r="F17" s="9">
        <f>F15/F16</f>
        <v/>
      </c>
      <c r="G17" s="9">
        <f>G15/G16</f>
        <v/>
      </c>
    </row>
    <row r="18">
      <c r="A18" s="4" t="inlineStr">
        <is>
          <t xml:space="preserve">  (검증) 실적·컨센서스</t>
        </is>
      </c>
      <c r="B18" s="4" t="inlineStr">
        <is>
          <t>블룸버그 (FY26 실적 / FY27E / FY28E)</t>
        </is>
      </c>
      <c r="C18" s="8" t="n">
        <v>1937</v>
      </c>
      <c r="D18" s="8" t="n">
        <v>3850</v>
      </c>
      <c r="E18" s="8" t="n">
        <v>6749</v>
      </c>
      <c r="F18" s="5" t="n"/>
      <c r="G18" s="5" t="n"/>
    </row>
    <row r="19">
      <c r="A19" s="7" t="inlineStr">
        <is>
          <t>아키텍처별 점유율 (GPU 대수)</t>
        </is>
      </c>
      <c r="B19" s="4" t="n"/>
      <c r="C19" s="5" t="n"/>
      <c r="D19" s="5" t="n"/>
      <c r="E19" s="5" t="n"/>
      <c r="F19" s="5" t="n"/>
      <c r="G19" s="5" t="n"/>
    </row>
    <row r="20">
      <c r="A20" s="4" t="inlineStr">
        <is>
          <t xml:space="preserve">  Blackwell</t>
        </is>
      </c>
      <c r="B20" s="4" t="inlineStr"/>
      <c r="C20" s="11" t="n">
        <v>1</v>
      </c>
      <c r="D20" s="11" t="n">
        <v>0.8</v>
      </c>
      <c r="E20" s="11" t="n">
        <v>0.35</v>
      </c>
      <c r="F20" s="11" t="n">
        <v>0</v>
      </c>
      <c r="G20" s="11" t="n">
        <v>0</v>
      </c>
    </row>
    <row r="21">
      <c r="A21" s="4" t="inlineStr">
        <is>
          <t xml:space="preserve">  Rubin</t>
        </is>
      </c>
      <c r="B21" s="4" t="inlineStr">
        <is>
          <t>2026 TrendForce 22% / 2026 가을 출하(NVIDIA)</t>
        </is>
      </c>
      <c r="C21" s="11" t="n">
        <v>0</v>
      </c>
      <c r="D21" s="11" t="n">
        <v>0.2</v>
      </c>
      <c r="E21" s="11" t="n">
        <v>0.5</v>
      </c>
      <c r="F21" s="11" t="n">
        <v>0.3</v>
      </c>
      <c r="G21" s="11" t="n">
        <v>0</v>
      </c>
    </row>
    <row r="22">
      <c r="A22" s="4" t="inlineStr">
        <is>
          <t xml:space="preserve">  Rubin Ultra</t>
        </is>
      </c>
      <c r="B22" s="4" t="inlineStr">
        <is>
          <t>2027 하반기 출시 (NVIDIA 로드맵)</t>
        </is>
      </c>
      <c r="C22" s="11" t="n">
        <v>0</v>
      </c>
      <c r="D22" s="11" t="n">
        <v>0</v>
      </c>
      <c r="E22" s="11" t="n">
        <v>0.15</v>
      </c>
      <c r="F22" s="11" t="n">
        <v>0.5</v>
      </c>
      <c r="G22" s="11" t="n">
        <v>0.5</v>
      </c>
    </row>
    <row r="23">
      <c r="A23" s="4" t="inlineStr">
        <is>
          <t xml:space="preserve">  Feynman</t>
        </is>
      </c>
      <c r="B23" s="4" t="inlineStr">
        <is>
          <t>2028 출시 (NVIDIA 로드맵)</t>
        </is>
      </c>
      <c r="C23" s="11" t="n">
        <v>0</v>
      </c>
      <c r="D23" s="11" t="n">
        <v>0</v>
      </c>
      <c r="E23" s="11" t="n">
        <v>0</v>
      </c>
      <c r="F23" s="11" t="n">
        <v>0.2</v>
      </c>
      <c r="G23" s="11" t="n">
        <v>0.5</v>
      </c>
    </row>
    <row r="24">
      <c r="A24" s="7" t="inlineStr">
        <is>
          <t>GPU당 매출 (만$)</t>
        </is>
      </c>
      <c r="B24" s="4" t="n"/>
      <c r="C24" s="5" t="n"/>
      <c r="D24" s="5" t="n"/>
      <c r="E24" s="5" t="n"/>
      <c r="F24" s="5" t="n"/>
      <c r="G24" s="5" t="n"/>
    </row>
    <row r="25">
      <c r="A25" s="4" t="inlineStr">
        <is>
          <t xml:space="preserve">  Blackwell</t>
        </is>
      </c>
      <c r="B25" s="4" t="inlineStr">
        <is>
          <t>2025는 Hopper 섞임</t>
        </is>
      </c>
      <c r="C25" s="12" t="n">
        <v>3</v>
      </c>
      <c r="D25" s="12" t="n">
        <v>3.5</v>
      </c>
      <c r="E25" s="12" t="n">
        <v>3.5</v>
      </c>
      <c r="F25" s="12" t="n">
        <v>3.5</v>
      </c>
      <c r="G25" s="12" t="n">
        <v>3.5</v>
      </c>
    </row>
    <row r="26">
      <c r="A26" s="4" t="inlineStr">
        <is>
          <t xml:space="preserve">  Rubin</t>
        </is>
      </c>
      <c r="B26" s="4" t="inlineStr">
        <is>
          <t>Blackwell의 약 2배 (TrendForce)</t>
        </is>
      </c>
      <c r="C26" s="12" t="n">
        <v>6</v>
      </c>
      <c r="D26" s="12" t="n">
        <v>6</v>
      </c>
      <c r="E26" s="12" t="n">
        <v>6</v>
      </c>
      <c r="F26" s="12" t="n">
        <v>6</v>
      </c>
      <c r="G26" s="12" t="n">
        <v>6</v>
      </c>
    </row>
    <row r="27">
      <c r="A27" s="4" t="inlineStr">
        <is>
          <t xml:space="preserve">  Rubin Ultra</t>
        </is>
      </c>
      <c r="B27" s="4" t="inlineStr">
        <is>
          <t>가정</t>
        </is>
      </c>
      <c r="C27" s="12" t="n">
        <v>8</v>
      </c>
      <c r="D27" s="12" t="n">
        <v>8</v>
      </c>
      <c r="E27" s="12" t="n">
        <v>8</v>
      </c>
      <c r="F27" s="12" t="n">
        <v>8</v>
      </c>
      <c r="G27" s="12" t="n">
        <v>8</v>
      </c>
    </row>
    <row r="28">
      <c r="A28" s="4" t="inlineStr">
        <is>
          <t xml:space="preserve">  Feynman</t>
        </is>
      </c>
      <c r="B28" s="4" t="inlineStr">
        <is>
          <t>가정</t>
        </is>
      </c>
      <c r="C28" s="12" t="n">
        <v>10</v>
      </c>
      <c r="D28" s="12" t="n">
        <v>10</v>
      </c>
      <c r="E28" s="12" t="n">
        <v>10</v>
      </c>
      <c r="F28" s="12" t="n">
        <v>10</v>
      </c>
      <c r="G28" s="12" t="n">
        <v>10</v>
      </c>
    </row>
    <row r="29">
      <c r="A29" s="4" t="inlineStr">
        <is>
          <t xml:space="preserve">  평균 GPU당 매출</t>
        </is>
      </c>
      <c r="B29" s="4">
        <f> 점유율 가중평균</f>
        <v/>
      </c>
      <c r="C29" s="13">
        <f>SUMPRODUCT(C20:C23,C25:C28)</f>
        <v/>
      </c>
      <c r="D29" s="13">
        <f>SUMPRODUCT(D20:D23,D25:D28)</f>
        <v/>
      </c>
      <c r="E29" s="13">
        <f>SUMPRODUCT(E20:E23,E25:E28)</f>
        <v/>
      </c>
      <c r="F29" s="13">
        <f>SUMPRODUCT(F20:F23,F25:F28)</f>
        <v/>
      </c>
      <c r="G29" s="13">
        <f>SUMPRODUCT(G20:G23,G25:G28)</f>
        <v/>
      </c>
    </row>
    <row r="30">
      <c r="A30" s="7" t="inlineStr">
        <is>
          <t>GPU 판매 대수 (만 개)</t>
        </is>
      </c>
      <c r="B30" s="4">
        <f> 데이터센터 매출 ÷ 평균 GPU당 매출</f>
        <v/>
      </c>
      <c r="C30" s="9">
        <f>C17/C29</f>
        <v/>
      </c>
      <c r="D30" s="9">
        <f>D17/D29</f>
        <v/>
      </c>
      <c r="E30" s="9">
        <f>E17/E29</f>
        <v/>
      </c>
      <c r="F30" s="9">
        <f>F17/F29</f>
        <v/>
      </c>
      <c r="G30" s="9">
        <f>G17/G29</f>
        <v/>
      </c>
    </row>
    <row r="31">
      <c r="A31" s="4" t="inlineStr">
        <is>
          <t xml:space="preserve">  랙 형태 판매 비중</t>
        </is>
      </c>
      <c r="B31" s="4" t="inlineStr">
        <is>
          <t>KUVIC 표 기준</t>
        </is>
      </c>
      <c r="C31" s="11" t="n">
        <v>0.35</v>
      </c>
      <c r="D31" s="11" t="n">
        <v>0.4</v>
      </c>
      <c r="E31" s="11" t="n">
        <v>0.45</v>
      </c>
      <c r="F31" s="11" t="n">
        <v>0.5</v>
      </c>
      <c r="G31" s="11" t="n">
        <v>0.55</v>
      </c>
    </row>
    <row r="32">
      <c r="A32" s="7" t="inlineStr">
        <is>
          <t>랙 대수 (만 대, NVL72 환산)</t>
        </is>
      </c>
      <c r="B32" s="4">
        <f> GPU 대수 × 랙 비중 ÷ 72</f>
        <v/>
      </c>
      <c r="C32" s="14">
        <f>C30*C31/72</f>
        <v/>
      </c>
      <c r="D32" s="14">
        <f>D30*D31/72</f>
        <v/>
      </c>
      <c r="E32" s="14">
        <f>E30*E31/72</f>
        <v/>
      </c>
      <c r="F32" s="14">
        <f>F30*F31/72</f>
        <v/>
      </c>
      <c r="G32" s="14">
        <f>G30*G31/72</f>
        <v/>
      </c>
    </row>
    <row r="33">
      <c r="A33" s="4" t="inlineStr">
        <is>
          <t xml:space="preserve">  Rubin 랙</t>
        </is>
      </c>
      <c r="B33" s="4" t="inlineStr"/>
      <c r="C33" s="15">
        <f>C32*C21</f>
        <v/>
      </c>
      <c r="D33" s="15">
        <f>D32*D21</f>
        <v/>
      </c>
      <c r="E33" s="15">
        <f>E32*E21</f>
        <v/>
      </c>
      <c r="F33" s="15">
        <f>F32*F21</f>
        <v/>
      </c>
      <c r="G33" s="15">
        <f>G32*G21</f>
        <v/>
      </c>
    </row>
    <row r="34">
      <c r="A34" s="4" t="inlineStr">
        <is>
          <t xml:space="preserve">  Rubin Ultra 랙</t>
        </is>
      </c>
      <c r="B34" s="4" t="inlineStr"/>
      <c r="C34" s="15">
        <f>C32*C22</f>
        <v/>
      </c>
      <c r="D34" s="15">
        <f>D32*D22</f>
        <v/>
      </c>
      <c r="E34" s="15">
        <f>E32*E22</f>
        <v/>
      </c>
      <c r="F34" s="15">
        <f>F32*F22</f>
        <v/>
      </c>
      <c r="G34" s="15">
        <f>G32*G22</f>
        <v/>
      </c>
    </row>
    <row r="35">
      <c r="A35" s="4" t="inlineStr">
        <is>
          <t xml:space="preserve">  Feynman 랙</t>
        </is>
      </c>
      <c r="B35" s="4" t="inlineStr"/>
      <c r="C35" s="15">
        <f>C32*C23</f>
        <v/>
      </c>
      <c r="D35" s="15">
        <f>D32*D23</f>
        <v/>
      </c>
      <c r="E35" s="15">
        <f>E32*E23</f>
        <v/>
      </c>
      <c r="F35" s="15">
        <f>F32*F23</f>
        <v/>
      </c>
      <c r="G35" s="15">
        <f>G32*G23</f>
        <v/>
      </c>
    </row>
    <row r="36">
      <c r="A36" s="7" t="inlineStr">
        <is>
          <t>NVL72 환산 랙 전력 (kW)</t>
        </is>
      </c>
      <c r="B36" s="4" t="n"/>
      <c r="C36" s="5" t="n"/>
      <c r="D36" s="5" t="n"/>
      <c r="E36" s="5" t="n"/>
      <c r="F36" s="5" t="n"/>
      <c r="G36" s="5" t="n"/>
    </row>
    <row r="37">
      <c r="A37" s="4" t="inlineStr">
        <is>
          <t xml:space="preserve">  Rubin</t>
        </is>
      </c>
      <c r="B37" s="4" t="inlineStr">
        <is>
          <t>업계 추정 190~230kW</t>
        </is>
      </c>
      <c r="C37" s="6" t="n">
        <v>210</v>
      </c>
      <c r="D37" s="6" t="n">
        <v>210</v>
      </c>
      <c r="E37" s="6" t="n">
        <v>210</v>
      </c>
      <c r="F37" s="6" t="n">
        <v>210</v>
      </c>
      <c r="G37" s="6" t="n">
        <v>210</v>
      </c>
    </row>
    <row r="38">
      <c r="A38" s="4" t="inlineStr">
        <is>
          <t xml:space="preserve">  Rubin Ultra</t>
        </is>
      </c>
      <c r="B38" s="4" t="inlineStr">
        <is>
          <t>Kyber 약 600kW ÷ 2</t>
        </is>
      </c>
      <c r="C38" s="6" t="n">
        <v>300</v>
      </c>
      <c r="D38" s="6" t="n">
        <v>300</v>
      </c>
      <c r="E38" s="6" t="n">
        <v>300</v>
      </c>
      <c r="F38" s="6" t="n">
        <v>300</v>
      </c>
      <c r="G38" s="6" t="n">
        <v>300</v>
      </c>
    </row>
    <row r="39">
      <c r="A39" s="4" t="inlineStr">
        <is>
          <t xml:space="preserve">  Feynman</t>
        </is>
      </c>
      <c r="B39" s="4" t="inlineStr">
        <is>
          <t>가정</t>
        </is>
      </c>
      <c r="C39" s="6" t="n">
        <v>350</v>
      </c>
      <c r="D39" s="6" t="n">
        <v>350</v>
      </c>
      <c r="E39" s="6" t="n">
        <v>350</v>
      </c>
      <c r="F39" s="6" t="n">
        <v>350</v>
      </c>
      <c r="G39" s="6" t="n">
        <v>350</v>
      </c>
    </row>
    <row r="40">
      <c r="A40" s="4" t="inlineStr">
        <is>
          <t xml:space="preserve">  Rubin GW</t>
        </is>
      </c>
      <c r="B40" s="4">
        <f> 랙(만 대) × kW ÷ 100</f>
        <v/>
      </c>
      <c r="C40" s="13">
        <f>C33*C37/100</f>
        <v/>
      </c>
      <c r="D40" s="13">
        <f>D33*D37/100</f>
        <v/>
      </c>
      <c r="E40" s="13">
        <f>E33*E37/100</f>
        <v/>
      </c>
      <c r="F40" s="13">
        <f>F33*F37/100</f>
        <v/>
      </c>
      <c r="G40" s="13">
        <f>G33*G37/100</f>
        <v/>
      </c>
    </row>
    <row r="41">
      <c r="A41" s="4" t="inlineStr">
        <is>
          <t xml:space="preserve">  Rubin Ultra GW</t>
        </is>
      </c>
      <c r="B41" s="4" t="inlineStr"/>
      <c r="C41" s="13">
        <f>C34*C38/100</f>
        <v/>
      </c>
      <c r="D41" s="13">
        <f>D34*D38/100</f>
        <v/>
      </c>
      <c r="E41" s="13">
        <f>E34*E38/100</f>
        <v/>
      </c>
      <c r="F41" s="13">
        <f>F34*F38/100</f>
        <v/>
      </c>
      <c r="G41" s="13">
        <f>G34*G38/100</f>
        <v/>
      </c>
    </row>
    <row r="42">
      <c r="A42" s="4" t="inlineStr">
        <is>
          <t xml:space="preserve">  Feynman GW</t>
        </is>
      </c>
      <c r="B42" s="4" t="inlineStr"/>
      <c r="C42" s="13">
        <f>C35*C39/100</f>
        <v/>
      </c>
      <c r="D42" s="13">
        <f>D35*D39/100</f>
        <v/>
      </c>
      <c r="E42" s="13">
        <f>E35*E39/100</f>
        <v/>
      </c>
      <c r="F42" s="13">
        <f>F35*F39/100</f>
        <v/>
      </c>
      <c r="G42" s="13">
        <f>G35*G39/100</f>
        <v/>
      </c>
    </row>
    <row r="43">
      <c r="A43" s="16" t="inlineStr">
        <is>
          <t>CBU 대상 GW (Rubin+Ultra+Feynman)</t>
        </is>
      </c>
      <c r="B43" s="17" t="inlineStr">
        <is>
          <t>1단계 결과</t>
        </is>
      </c>
      <c r="C43" s="18">
        <f>C40+C41+C42</f>
        <v/>
      </c>
      <c r="D43" s="18">
        <f>D40+D41+D42</f>
        <v/>
      </c>
      <c r="E43" s="18">
        <f>E40+E41+E42</f>
        <v/>
      </c>
      <c r="F43" s="18">
        <f>F40+F41+F42</f>
        <v/>
      </c>
      <c r="G43" s="18">
        <f>G40+G41+G42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2026-10-31T08:42:35Z</dcterms:created>
  <dcterms:modified xmlns:dcterms="http://purl.org/dc/terms/" xmlns:xsi="http://www.w3.org/2001/XMLSchema-instance" xsi:type="dcterms:W3CDTF">2026-10-31T08:42:35Z</dcterms:modified>
</cp:coreProperties>
</file>